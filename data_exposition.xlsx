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/Desktop/Masterarbeit/"/>
    </mc:Choice>
  </mc:AlternateContent>
  <xr:revisionPtr revIDLastSave="0" documentId="8_{F85D8E78-37BA-EA41-BB1B-887615F05C65}" xr6:coauthVersionLast="47" xr6:coauthVersionMax="47" xr10:uidLastSave="{00000000-0000-0000-0000-000000000000}"/>
  <bookViews>
    <workbookView xWindow="0" yWindow="740" windowWidth="29400" windowHeight="18380" xr2:uid="{88BC9026-0B49-0A48-A873-CA56B967B33F}"/>
  </bookViews>
  <sheets>
    <sheet name="Tabelle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5" i="1" l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</calcChain>
</file>

<file path=xl/sharedStrings.xml><?xml version="1.0" encoding="utf-8"?>
<sst xmlns="http://schemas.openxmlformats.org/spreadsheetml/2006/main" count="115" uniqueCount="100">
  <si>
    <t>Nr.</t>
  </si>
  <si>
    <t>GLOF-Name</t>
  </si>
  <si>
    <t>Land</t>
  </si>
  <si>
    <t>Bevölkerungswachstum (1960-2023) in %</t>
  </si>
  <si>
    <t>Jahr</t>
  </si>
  <si>
    <t>Jahr_historisch</t>
  </si>
  <si>
    <t>Gebirge</t>
  </si>
  <si>
    <t>Gletschersee (m²)</t>
  </si>
  <si>
    <t>Siedlung_Haeuser_prim_aktuell</t>
  </si>
  <si>
    <t xml:space="preserve">Siedlung_Haeuser_prim_historisch </t>
  </si>
  <si>
    <t xml:space="preserve">Siedlung_Haeuser_sek_aktuell </t>
  </si>
  <si>
    <t xml:space="preserve">Siedlung_Haeuser_sek_historisch </t>
  </si>
  <si>
    <t xml:space="preserve">Siedlung_Haeuser_mit_Farmland_prim_aktuell </t>
  </si>
  <si>
    <t xml:space="preserve">Siedlung_Haeuser_mit_Farmland_prim_historisch </t>
  </si>
  <si>
    <t xml:space="preserve">Siedlung_Haeuser_mit_Farmland_sek_aktuell </t>
  </si>
  <si>
    <t xml:space="preserve">Siedlung_Haeuser_mit_Farmland_sek_historisch </t>
  </si>
  <si>
    <t xml:space="preserve">Siedlung_kritische_Infra_prim_aktuell </t>
  </si>
  <si>
    <t xml:space="preserve">Siedlung_kritische_Infra_prim_historisch </t>
  </si>
  <si>
    <t xml:space="preserve">Siedlung_kritische_Infra_sek_aktuell </t>
  </si>
  <si>
    <t xml:space="preserve">Siedlung_kritische_Infra_sek_historisch </t>
  </si>
  <si>
    <t xml:space="preserve">Siedlung_Tourismus_prim_aktuell </t>
  </si>
  <si>
    <t xml:space="preserve">Siedlung_Tourismus_prim_historisch </t>
  </si>
  <si>
    <t xml:space="preserve">Siedlung_Tourismus_sek_aktuell </t>
  </si>
  <si>
    <t xml:space="preserve">Siedlung_Tourismus_sek_historisch </t>
  </si>
  <si>
    <t xml:space="preserve">Siedlung_Industrie_prim_aktuell </t>
  </si>
  <si>
    <t xml:space="preserve">Siedlung_Industrie_prim_historisch </t>
  </si>
  <si>
    <t xml:space="preserve">Siedlung_Industrie_sek_aktuell </t>
  </si>
  <si>
    <t xml:space="preserve">Siedlung_Industrie_sek_historisch </t>
  </si>
  <si>
    <t xml:space="preserve">Siedlung_Population_prim_aktuell </t>
  </si>
  <si>
    <t xml:space="preserve">Siedlung_Population_prim_historisch </t>
  </si>
  <si>
    <t xml:space="preserve">Siedlung_Population_sek_aktuell </t>
  </si>
  <si>
    <t xml:space="preserve">Siedlung_Population_sek_historisch </t>
  </si>
  <si>
    <t xml:space="preserve">Landwirtschaft_Farmland_prim_aktuell </t>
  </si>
  <si>
    <t xml:space="preserve">Landwirtschaft_Farmland_prim_historisch </t>
  </si>
  <si>
    <t xml:space="preserve">Landwirtschaft_Farmland_sek_aktuell </t>
  </si>
  <si>
    <t xml:space="preserve">Landwirtschaft_Farmland_sek_historisch </t>
  </si>
  <si>
    <t xml:space="preserve">Landwirtschaft_Farmland_mit_Haeusern_prim_aktuell </t>
  </si>
  <si>
    <t xml:space="preserve">Landwirtschaft_Farmland_mit_Haeusern_prim_historisch </t>
  </si>
  <si>
    <t xml:space="preserve">Landwirtschaft_Farmland_mit_Haeusern_sek_aktuell </t>
  </si>
  <si>
    <t xml:space="preserve">Landwirtschaft_Farmland_mit_Haeusern_sek_historisch </t>
  </si>
  <si>
    <t xml:space="preserve">Landwirtschaft_Population_prim_aktuell </t>
  </si>
  <si>
    <t xml:space="preserve">Landwirtschaft_Population_prim_historisch </t>
  </si>
  <si>
    <t xml:space="preserve">Landwirtschaft_Population_sek_aktuell </t>
  </si>
  <si>
    <t xml:space="preserve">Landwirtschaft_Population_sek_historisch </t>
  </si>
  <si>
    <t>Infrastruktur_Straße_prim_aktuell</t>
  </si>
  <si>
    <t xml:space="preserve">Infrastruktur_Straße_prim_historisch </t>
  </si>
  <si>
    <t xml:space="preserve">Infrastruktur_Straße_sek_aktuell </t>
  </si>
  <si>
    <t xml:space="preserve">Infrastruktur_Straße_sek_historisch </t>
  </si>
  <si>
    <t xml:space="preserve">Infrastruktur_Bruecke_prim_aktuell </t>
  </si>
  <si>
    <t xml:space="preserve">Infrastruktur_Bruecke_prim_historisch </t>
  </si>
  <si>
    <t xml:space="preserve">Infrastruktur_Bruecke_sek_aktuell </t>
  </si>
  <si>
    <t xml:space="preserve">Infrastruktur_Bruecke_sek_historisch </t>
  </si>
  <si>
    <t xml:space="preserve">Infrastruktur_Erosion_prim_aktuell </t>
  </si>
  <si>
    <t xml:space="preserve">Infrastruktur_Erosion_prim_historisch </t>
  </si>
  <si>
    <t xml:space="preserve">Infrastruktur_Erosion_sek_aktuell </t>
  </si>
  <si>
    <t xml:space="preserve">Infrastruktur_Erosion_sek_historisch </t>
  </si>
  <si>
    <t xml:space="preserve">Infrastruktur_Energie_Wasser_prim_aktuell </t>
  </si>
  <si>
    <t xml:space="preserve">Infrastruktur_Energie_Wasser_prim_historisch </t>
  </si>
  <si>
    <t xml:space="preserve">Infrastruktur_Energie_Wasser_sek_aktuell </t>
  </si>
  <si>
    <t xml:space="preserve">Infrastruktur_Energie_Wasser_sek_historisch </t>
  </si>
  <si>
    <t>Choquetira</t>
  </si>
  <si>
    <t xml:space="preserve">Peru </t>
  </si>
  <si>
    <t>Anden</t>
  </si>
  <si>
    <t>Gya Ladakh</t>
  </si>
  <si>
    <t>Indien</t>
  </si>
  <si>
    <t>Himalaya</t>
  </si>
  <si>
    <t>Lhotse</t>
  </si>
  <si>
    <t xml:space="preserve">Nepal </t>
  </si>
  <si>
    <t>Chomo Pamari</t>
  </si>
  <si>
    <t xml:space="preserve">China </t>
  </si>
  <si>
    <t>Ildong</t>
  </si>
  <si>
    <t>Saldim West</t>
  </si>
  <si>
    <t>Nepal</t>
  </si>
  <si>
    <t>Changri Shar</t>
  </si>
  <si>
    <t>Sulzenau</t>
  </si>
  <si>
    <t>Österreich</t>
  </si>
  <si>
    <t>Alpen</t>
  </si>
  <si>
    <t>Bashkara</t>
  </si>
  <si>
    <t>Russland</t>
  </si>
  <si>
    <t>Kaukasus</t>
  </si>
  <si>
    <t>Panjshir</t>
  </si>
  <si>
    <t>Afghanistan</t>
  </si>
  <si>
    <t>Hindukusch</t>
  </si>
  <si>
    <t>Exploradores</t>
  </si>
  <si>
    <t>Chile</t>
  </si>
  <si>
    <t>Nalla</t>
  </si>
  <si>
    <t xml:space="preserve">Pakistan </t>
  </si>
  <si>
    <t>Karakoram</t>
  </si>
  <si>
    <t>Shishper</t>
  </si>
  <si>
    <t>Humanatay</t>
  </si>
  <si>
    <t>Rumbak</t>
  </si>
  <si>
    <t xml:space="preserve">Indien </t>
  </si>
  <si>
    <t>South Lhonak</t>
  </si>
  <si>
    <t>Mittelwert</t>
  </si>
  <si>
    <t>Min</t>
  </si>
  <si>
    <t>Max</t>
  </si>
  <si>
    <t>Median</t>
  </si>
  <si>
    <t>Standardabweichung</t>
  </si>
  <si>
    <t>Interquartilsabstand_1</t>
  </si>
  <si>
    <t>Interquartilsabstand_3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</si>
</sst>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3A72-A3BF-E14D-ABC7-0E722D73960F}">
  <dimension ref="A1:BX37"/>
  <sheetViews>
    <sheetView tabSelected="1" zoomScaleNormal="110" workbookViewId="0">
      <selection activeCell="F26" sqref="F26"/>
    </sheetView>
  </sheetViews>
  <sheetFormatPr baseColWidth="10" defaultRowHeight="16" x14ac:dyDescent="0.2"/>
  <cols>
    <col min="1" max="1" width="2.6640625" style="20" bestFit="1" customWidth="1"/>
    <col min="2" max="3" width="14.83203125" style="20" customWidth="1"/>
    <col min="4" max="4" width="26.33203125" style="20" customWidth="1"/>
    <col min="5" max="7" width="14.83203125" style="20" customWidth="1"/>
    <col min="8" max="8" width="10.6640625" style="20" bestFit="1" customWidth="1"/>
    <col min="9" max="9" width="27.83203125" style="20" customWidth="1"/>
    <col min="10" max="10" width="20.5" style="20" customWidth="1"/>
    <col min="11" max="11" width="21.33203125" style="20" customWidth="1"/>
    <col min="12" max="12" width="22" style="20" customWidth="1"/>
    <col min="13" max="13" width="31.1640625" style="20" customWidth="1"/>
    <col min="14" max="14" width="33.33203125" style="20" customWidth="1"/>
    <col min="15" max="15" width="34.33203125" style="20" customWidth="1"/>
    <col min="16" max="16" width="37.5" style="20" customWidth="1"/>
    <col min="17" max="17" width="23" style="20" customWidth="1"/>
    <col min="18" max="18" width="39.33203125" style="20" customWidth="1"/>
    <col min="19" max="20" width="26.5" style="20" customWidth="1"/>
    <col min="21" max="21" width="23.5" style="20" customWidth="1"/>
    <col min="22" max="22" width="26" style="20" customWidth="1"/>
    <col min="23" max="23" width="25.83203125" style="20" customWidth="1"/>
    <col min="24" max="24" width="27.83203125" style="20" customWidth="1"/>
    <col min="25" max="25" width="21.33203125" style="20" customWidth="1"/>
    <col min="26" max="26" width="22.1640625" style="20" customWidth="1"/>
    <col min="27" max="27" width="26.6640625" style="20" customWidth="1"/>
    <col min="28" max="28" width="21.83203125" style="20" customWidth="1"/>
    <col min="29" max="29" width="25.33203125" style="20" customWidth="1"/>
    <col min="30" max="30" width="22.1640625" style="20" customWidth="1"/>
    <col min="31" max="31" width="23.6640625" style="20" customWidth="1"/>
    <col min="32" max="32" width="24.33203125" style="20" customWidth="1"/>
    <col min="33" max="33" width="29.5" style="20" customWidth="1"/>
    <col min="34" max="34" width="25.1640625" style="20" customWidth="1"/>
    <col min="35" max="35" width="29.1640625" style="20" customWidth="1"/>
    <col min="36" max="36" width="30.6640625" style="20" customWidth="1"/>
    <col min="37" max="37" width="33" style="20" customWidth="1"/>
    <col min="38" max="38" width="41" style="20" customWidth="1"/>
    <col min="39" max="39" width="36.33203125" style="20" customWidth="1"/>
    <col min="40" max="40" width="38" style="20" customWidth="1"/>
    <col min="41" max="41" width="29.33203125" style="20" customWidth="1"/>
    <col min="42" max="42" width="28.1640625" style="20" customWidth="1"/>
    <col min="43" max="43" width="24" style="20" customWidth="1"/>
    <col min="44" max="44" width="32.5" style="20" customWidth="1"/>
    <col min="45" max="45" width="28" style="20" customWidth="1"/>
    <col min="46" max="46" width="36" style="20" customWidth="1"/>
    <col min="47" max="47" width="32.83203125" style="20" customWidth="1"/>
    <col min="48" max="48" width="25.83203125" style="20" customWidth="1"/>
    <col min="49" max="49" width="25.33203125" style="20" customWidth="1"/>
    <col min="50" max="50" width="25.83203125" style="20" customWidth="1"/>
    <col min="51" max="51" width="28.6640625" style="20" customWidth="1"/>
    <col min="52" max="52" width="27.33203125" style="20" customWidth="1"/>
    <col min="53" max="53" width="24.5" style="20" customWidth="1"/>
    <col min="54" max="54" width="24.33203125" style="20" customWidth="1"/>
    <col min="55" max="55" width="32.1640625" style="20" customWidth="1"/>
    <col min="56" max="56" width="30.33203125" style="20" customWidth="1"/>
    <col min="57" max="57" width="26.83203125" style="20" customWidth="1"/>
    <col min="58" max="58" width="30.5" style="20" customWidth="1"/>
    <col min="59" max="59" width="26.5" style="20" customWidth="1"/>
    <col min="60" max="60" width="28.33203125" style="20" bestFit="1" customWidth="1"/>
    <col min="61" max="16384" width="10.83203125" style="20"/>
  </cols>
  <sheetData>
    <row r="1" spans="1:66" s="5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4"/>
      <c r="BJ1" s="4"/>
      <c r="BK1" s="4"/>
      <c r="BL1" s="4"/>
      <c r="BM1" s="4"/>
      <c r="BN1" s="4"/>
    </row>
    <row r="2" spans="1:66" s="10" customFormat="1" x14ac:dyDescent="0.2">
      <c r="A2" s="6">
        <v>1</v>
      </c>
      <c r="B2" s="7" t="s">
        <v>60</v>
      </c>
      <c r="C2" s="7" t="s">
        <v>61</v>
      </c>
      <c r="D2" s="7">
        <v>233</v>
      </c>
      <c r="E2" s="7">
        <v>2012</v>
      </c>
      <c r="F2" s="7">
        <v>1978</v>
      </c>
      <c r="G2" s="7" t="s">
        <v>62</v>
      </c>
      <c r="H2" s="8">
        <v>9961</v>
      </c>
      <c r="I2" s="8"/>
      <c r="J2" s="9"/>
      <c r="K2" s="8">
        <v>4587.24</v>
      </c>
      <c r="L2" s="9"/>
      <c r="M2" s="8">
        <v>20519.98</v>
      </c>
      <c r="N2" s="8">
        <v>17607.96</v>
      </c>
      <c r="O2" s="8">
        <v>186439.38</v>
      </c>
      <c r="P2" s="8">
        <v>106117.36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>
        <v>4.8899999999999997</v>
      </c>
      <c r="AD2" s="8">
        <v>3.93</v>
      </c>
      <c r="AE2" s="8">
        <v>39.57</v>
      </c>
      <c r="AF2" s="8">
        <v>18.059999999999999</v>
      </c>
      <c r="AG2" s="8">
        <v>1266.8420000000001</v>
      </c>
      <c r="AH2" s="8"/>
      <c r="AI2" s="8">
        <v>5302.45</v>
      </c>
      <c r="AJ2" s="8">
        <v>23087.66</v>
      </c>
      <c r="AK2" s="8">
        <v>35713.919999999998</v>
      </c>
      <c r="AL2" s="8">
        <v>22403.73</v>
      </c>
      <c r="AM2" s="8">
        <v>314859.15000000002</v>
      </c>
      <c r="AN2" s="8">
        <v>268015.71999999997</v>
      </c>
      <c r="AO2" s="8">
        <v>1.34</v>
      </c>
      <c r="AP2" s="8">
        <v>2.23</v>
      </c>
      <c r="AQ2" s="8">
        <v>29.19</v>
      </c>
      <c r="AR2" s="8">
        <v>29.35</v>
      </c>
      <c r="AS2" s="8">
        <v>7.94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L2" s="11"/>
      <c r="BM2" s="11"/>
    </row>
    <row r="3" spans="1:66" s="10" customFormat="1" x14ac:dyDescent="0.2">
      <c r="A3" s="6">
        <v>2</v>
      </c>
      <c r="B3" s="6" t="s">
        <v>63</v>
      </c>
      <c r="C3" s="7" t="s">
        <v>64</v>
      </c>
      <c r="D3" s="7">
        <v>230</v>
      </c>
      <c r="E3" s="6">
        <v>2014</v>
      </c>
      <c r="F3" s="6">
        <v>1965</v>
      </c>
      <c r="G3" s="6" t="s">
        <v>65</v>
      </c>
      <c r="H3" s="8">
        <v>111000</v>
      </c>
      <c r="I3" s="8">
        <v>1176.28</v>
      </c>
      <c r="J3" s="8"/>
      <c r="K3" s="8">
        <v>30747.45</v>
      </c>
      <c r="L3" s="8">
        <v>34082.93</v>
      </c>
      <c r="M3" s="8">
        <v>9307.92</v>
      </c>
      <c r="N3" s="8">
        <v>9307.92</v>
      </c>
      <c r="O3" s="8">
        <v>101204.12</v>
      </c>
      <c r="P3" s="8">
        <v>101204.12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>
        <v>6.16</v>
      </c>
      <c r="AD3" s="8">
        <v>6.16</v>
      </c>
      <c r="AE3" s="8">
        <v>66.23</v>
      </c>
      <c r="AF3" s="8">
        <v>66.23</v>
      </c>
      <c r="AG3" s="8">
        <v>8167.32</v>
      </c>
      <c r="AH3" s="8">
        <v>8167.32</v>
      </c>
      <c r="AI3" s="8">
        <v>834701.61</v>
      </c>
      <c r="AJ3" s="8">
        <v>634207.6</v>
      </c>
      <c r="AK3" s="8">
        <v>662.28</v>
      </c>
      <c r="AL3" s="8">
        <v>662.28</v>
      </c>
      <c r="AM3" s="8">
        <v>1679.95</v>
      </c>
      <c r="AN3" s="8">
        <v>1679.95</v>
      </c>
      <c r="AO3" s="8">
        <v>1.7</v>
      </c>
      <c r="AP3" s="8">
        <v>1.7</v>
      </c>
      <c r="AQ3" s="8">
        <v>3.99</v>
      </c>
      <c r="AR3" s="8">
        <v>3.99</v>
      </c>
      <c r="AS3" s="8"/>
      <c r="AT3" s="8"/>
      <c r="AU3" s="8"/>
      <c r="AV3" s="8"/>
      <c r="AW3" s="8">
        <v>4</v>
      </c>
      <c r="AX3" s="8">
        <v>3</v>
      </c>
      <c r="AY3" s="8"/>
      <c r="AZ3" s="8"/>
      <c r="BA3" s="8"/>
      <c r="BB3" s="8"/>
      <c r="BC3" s="8"/>
      <c r="BD3" s="8"/>
      <c r="BE3" s="8"/>
      <c r="BF3" s="8"/>
      <c r="BG3" s="8"/>
      <c r="BH3" s="8"/>
    </row>
    <row r="4" spans="1:66" s="10" customFormat="1" x14ac:dyDescent="0.2">
      <c r="A4" s="6">
        <v>3</v>
      </c>
      <c r="B4" s="6" t="s">
        <v>66</v>
      </c>
      <c r="C4" s="7" t="s">
        <v>67</v>
      </c>
      <c r="D4" s="7">
        <v>193</v>
      </c>
      <c r="E4" s="6">
        <v>2015</v>
      </c>
      <c r="F4" s="6">
        <v>1973</v>
      </c>
      <c r="G4" s="6" t="s">
        <v>65</v>
      </c>
      <c r="H4" s="8">
        <v>36000</v>
      </c>
      <c r="I4" s="8">
        <v>2200.0100000000002</v>
      </c>
      <c r="J4" s="8"/>
      <c r="K4" s="8">
        <v>20509.080000000002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55.04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6" s="10" customFormat="1" x14ac:dyDescent="0.2">
      <c r="A5" s="6">
        <v>4</v>
      </c>
      <c r="B5" s="6" t="s">
        <v>68</v>
      </c>
      <c r="C5" s="7" t="s">
        <v>69</v>
      </c>
      <c r="D5" s="7">
        <v>111</v>
      </c>
      <c r="E5" s="6">
        <v>2016</v>
      </c>
      <c r="F5" s="6">
        <v>1973</v>
      </c>
      <c r="G5" s="6" t="s">
        <v>65</v>
      </c>
      <c r="H5" s="8">
        <v>10695</v>
      </c>
      <c r="I5" s="8"/>
      <c r="J5" s="9"/>
      <c r="K5" s="8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>
        <v>2688.24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>
        <v>2</v>
      </c>
      <c r="AY5" s="8"/>
      <c r="AZ5" s="8"/>
      <c r="BA5" s="8"/>
      <c r="BB5" s="8"/>
      <c r="BC5" s="8"/>
      <c r="BD5" s="8"/>
      <c r="BE5" s="8">
        <v>1</v>
      </c>
      <c r="BF5" s="8"/>
      <c r="BG5" s="8"/>
      <c r="BH5" s="8"/>
    </row>
    <row r="6" spans="1:66" s="10" customFormat="1" x14ac:dyDescent="0.2">
      <c r="A6" s="6">
        <v>5</v>
      </c>
      <c r="B6" s="6" t="s">
        <v>70</v>
      </c>
      <c r="C6" s="7" t="s">
        <v>69</v>
      </c>
      <c r="D6" s="7">
        <v>111</v>
      </c>
      <c r="E6" s="6">
        <v>2017</v>
      </c>
      <c r="F6" s="6">
        <v>1970</v>
      </c>
      <c r="G6" s="6" t="s">
        <v>65</v>
      </c>
      <c r="H6" s="8">
        <v>16455</v>
      </c>
      <c r="I6" s="8">
        <v>437.22</v>
      </c>
      <c r="J6" s="9"/>
      <c r="K6" s="8">
        <v>30363.08</v>
      </c>
      <c r="L6" s="8">
        <v>207219.73</v>
      </c>
      <c r="M6" s="8">
        <v>109950.66</v>
      </c>
      <c r="N6" s="8">
        <v>23433.4</v>
      </c>
      <c r="O6" s="8">
        <v>2929445.96</v>
      </c>
      <c r="P6" s="8">
        <v>2008848.14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>
        <v>11004.31</v>
      </c>
      <c r="AC6" s="8"/>
      <c r="AD6" s="8"/>
      <c r="AE6" s="8"/>
      <c r="AF6" s="8"/>
      <c r="AG6" s="8">
        <v>322.52999999999997</v>
      </c>
      <c r="AH6" s="8">
        <v>3628.17</v>
      </c>
      <c r="AI6" s="8">
        <v>11195.42</v>
      </c>
      <c r="AJ6" s="8">
        <v>41422.42</v>
      </c>
      <c r="AK6" s="8">
        <v>2554.83</v>
      </c>
      <c r="AL6" s="8"/>
      <c r="AM6" s="8">
        <v>71866.02</v>
      </c>
      <c r="AN6" s="8"/>
      <c r="AO6" s="8"/>
      <c r="AP6" s="8"/>
      <c r="AQ6" s="8"/>
      <c r="AR6" s="8"/>
      <c r="AS6" s="8"/>
      <c r="AT6" s="8"/>
      <c r="AU6" s="8"/>
      <c r="AV6" s="8"/>
      <c r="AW6" s="8">
        <v>10</v>
      </c>
      <c r="AX6" s="8">
        <v>9</v>
      </c>
      <c r="AY6" s="8"/>
      <c r="AZ6" s="8"/>
      <c r="BA6" s="8"/>
      <c r="BB6" s="8"/>
      <c r="BC6" s="8"/>
      <c r="BD6" s="8"/>
      <c r="BE6" s="8"/>
      <c r="BF6" s="8"/>
      <c r="BG6" s="8"/>
      <c r="BH6" s="8"/>
      <c r="BL6" s="11"/>
      <c r="BM6" s="11"/>
    </row>
    <row r="7" spans="1:66" s="10" customFormat="1" x14ac:dyDescent="0.2">
      <c r="A7" s="6">
        <v>6</v>
      </c>
      <c r="B7" s="6" t="s">
        <v>71</v>
      </c>
      <c r="C7" s="7" t="s">
        <v>72</v>
      </c>
      <c r="D7" s="7">
        <v>193</v>
      </c>
      <c r="E7" s="6">
        <v>2017</v>
      </c>
      <c r="F7" s="6">
        <v>1973</v>
      </c>
      <c r="G7" s="6" t="s">
        <v>65</v>
      </c>
      <c r="H7" s="8">
        <v>88835</v>
      </c>
      <c r="I7" s="8">
        <v>10504.5</v>
      </c>
      <c r="J7" s="9"/>
      <c r="K7" s="8">
        <v>8734.2999999999993</v>
      </c>
      <c r="L7" s="9"/>
      <c r="M7" s="8"/>
      <c r="N7" s="8"/>
      <c r="O7" s="8">
        <v>2282.7199999999998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v>2.25</v>
      </c>
      <c r="AD7" s="8"/>
      <c r="AE7" s="8">
        <v>4.8</v>
      </c>
      <c r="AF7" s="8"/>
      <c r="AG7" s="8">
        <v>23997.13</v>
      </c>
      <c r="AH7" s="8"/>
      <c r="AI7" s="8">
        <v>19002.82</v>
      </c>
      <c r="AJ7" s="8"/>
      <c r="AK7" s="8"/>
      <c r="AL7" s="8"/>
      <c r="AM7" s="8"/>
      <c r="AN7" s="8"/>
      <c r="AO7" s="8">
        <v>0.72</v>
      </c>
      <c r="AP7" s="8"/>
      <c r="AQ7" s="8">
        <v>1.1200000000000001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spans="1:66" s="10" customFormat="1" x14ac:dyDescent="0.2">
      <c r="A8" s="6">
        <v>7</v>
      </c>
      <c r="B8" s="6" t="s">
        <v>73</v>
      </c>
      <c r="C8" s="7" t="s">
        <v>72</v>
      </c>
      <c r="D8" s="7">
        <v>193</v>
      </c>
      <c r="E8" s="6">
        <v>2017</v>
      </c>
      <c r="F8" s="6">
        <v>1973</v>
      </c>
      <c r="G8" s="6" t="s">
        <v>65</v>
      </c>
      <c r="H8" s="8">
        <v>180000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>
        <v>1</v>
      </c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12"/>
      <c r="BJ8" s="12"/>
      <c r="BK8" s="12"/>
      <c r="BL8" s="12"/>
      <c r="BM8" s="12"/>
      <c r="BN8" s="12"/>
    </row>
    <row r="9" spans="1:66" s="10" customFormat="1" x14ac:dyDescent="0.2">
      <c r="A9" s="6">
        <v>8</v>
      </c>
      <c r="B9" s="6" t="s">
        <v>74</v>
      </c>
      <c r="C9" s="7" t="s">
        <v>75</v>
      </c>
      <c r="D9" s="7">
        <v>30</v>
      </c>
      <c r="E9" s="6">
        <v>2017</v>
      </c>
      <c r="F9" s="6">
        <v>1973</v>
      </c>
      <c r="G9" s="6" t="s">
        <v>76</v>
      </c>
      <c r="H9" s="8">
        <v>70000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>
        <v>4450.04</v>
      </c>
      <c r="X9" s="8">
        <v>4450.04</v>
      </c>
      <c r="Y9" s="8"/>
      <c r="Z9" s="8"/>
      <c r="AA9" s="8"/>
      <c r="AB9" s="8"/>
      <c r="AC9" s="8"/>
      <c r="AD9" s="8"/>
      <c r="AE9" s="8">
        <v>8.2200000000000006</v>
      </c>
      <c r="AF9" s="8">
        <v>8.2200000000000006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>
        <v>1</v>
      </c>
      <c r="AX9" s="8">
        <v>1</v>
      </c>
      <c r="AY9" s="8"/>
      <c r="AZ9" s="8"/>
      <c r="BA9" s="8"/>
      <c r="BB9" s="8"/>
      <c r="BC9" s="8"/>
      <c r="BD9" s="8"/>
      <c r="BE9" s="8">
        <v>1</v>
      </c>
      <c r="BF9" s="8">
        <v>1</v>
      </c>
      <c r="BG9" s="8"/>
      <c r="BH9" s="8"/>
      <c r="BI9" s="11"/>
      <c r="BJ9" s="11"/>
      <c r="BK9" s="11"/>
      <c r="BL9" s="11"/>
      <c r="BM9" s="11"/>
      <c r="BN9" s="11"/>
    </row>
    <row r="10" spans="1:66" s="10" customFormat="1" x14ac:dyDescent="0.2">
      <c r="A10" s="6">
        <v>9</v>
      </c>
      <c r="B10" s="7" t="s">
        <v>77</v>
      </c>
      <c r="C10" s="7" t="s">
        <v>78</v>
      </c>
      <c r="D10" s="7">
        <v>20</v>
      </c>
      <c r="E10" s="7">
        <v>2017</v>
      </c>
      <c r="F10" s="7">
        <v>1974</v>
      </c>
      <c r="G10" s="7" t="s">
        <v>79</v>
      </c>
      <c r="H10" s="8">
        <v>35000</v>
      </c>
      <c r="I10" s="8"/>
      <c r="J10" s="8"/>
      <c r="K10" s="13">
        <v>946591790.05999994</v>
      </c>
      <c r="L10" s="13">
        <v>946591790.05999994</v>
      </c>
      <c r="M10" s="8"/>
      <c r="N10" s="8"/>
      <c r="O10" s="8"/>
      <c r="P10" s="8"/>
      <c r="Q10" s="8"/>
      <c r="R10" s="8"/>
      <c r="S10" s="8">
        <v>3</v>
      </c>
      <c r="T10" s="8">
        <v>3</v>
      </c>
      <c r="U10" s="8">
        <v>12509.32</v>
      </c>
      <c r="V10" s="8">
        <v>12509.32</v>
      </c>
      <c r="W10" s="8">
        <v>10566.72</v>
      </c>
      <c r="X10" s="8">
        <v>10566.72</v>
      </c>
      <c r="Y10" s="8"/>
      <c r="Z10" s="8"/>
      <c r="AA10" s="8">
        <v>88209.94</v>
      </c>
      <c r="AB10" s="8">
        <v>88209.94</v>
      </c>
      <c r="AC10" s="8">
        <v>194.05</v>
      </c>
      <c r="AD10" s="8">
        <v>194.05</v>
      </c>
      <c r="AE10" s="8">
        <v>381505.8</v>
      </c>
      <c r="AF10" s="8">
        <v>381505.8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>
        <v>3.8</v>
      </c>
      <c r="AT10" s="8">
        <v>3.8</v>
      </c>
      <c r="AU10" s="8"/>
      <c r="AV10" s="8"/>
      <c r="AW10" s="8">
        <v>3</v>
      </c>
      <c r="AX10" s="8">
        <v>3</v>
      </c>
      <c r="AY10" s="8"/>
      <c r="AZ10" s="8"/>
      <c r="BA10" s="8">
        <v>1</v>
      </c>
      <c r="BB10" s="8">
        <v>1</v>
      </c>
      <c r="BC10" s="8"/>
      <c r="BD10" s="8"/>
      <c r="BE10" s="8">
        <v>2</v>
      </c>
      <c r="BF10" s="8">
        <v>2</v>
      </c>
      <c r="BG10" s="8">
        <v>1</v>
      </c>
      <c r="BH10" s="8">
        <v>1</v>
      </c>
      <c r="BJ10" s="11"/>
      <c r="BL10" s="11"/>
      <c r="BM10" s="11"/>
    </row>
    <row r="11" spans="1:66" s="10" customFormat="1" x14ac:dyDescent="0.2">
      <c r="A11" s="6">
        <v>10</v>
      </c>
      <c r="B11" s="6" t="s">
        <v>80</v>
      </c>
      <c r="C11" s="7" t="s">
        <v>81</v>
      </c>
      <c r="D11" s="7">
        <v>359</v>
      </c>
      <c r="E11" s="6">
        <v>2018</v>
      </c>
      <c r="F11" s="6">
        <v>1961</v>
      </c>
      <c r="G11" s="6" t="s">
        <v>82</v>
      </c>
      <c r="H11" s="8">
        <v>64184</v>
      </c>
      <c r="I11" s="8"/>
      <c r="J11" s="9"/>
      <c r="K11" s="8"/>
      <c r="L11" s="9"/>
      <c r="M11" s="8">
        <v>277755.98</v>
      </c>
      <c r="N11" s="8">
        <v>273243.59999999998</v>
      </c>
      <c r="O11" s="8">
        <v>517836.06</v>
      </c>
      <c r="P11" s="8">
        <v>761826.49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>
        <v>445.86</v>
      </c>
      <c r="AD11" s="8">
        <v>445.86</v>
      </c>
      <c r="AE11" s="8">
        <v>1398.68</v>
      </c>
      <c r="AF11" s="8">
        <v>1773.84</v>
      </c>
      <c r="AG11" s="8"/>
      <c r="AH11" s="8"/>
      <c r="AI11" s="8">
        <v>84645.35</v>
      </c>
      <c r="AJ11" s="8"/>
      <c r="AK11" s="8">
        <v>4628.7299999999996</v>
      </c>
      <c r="AL11" s="8"/>
      <c r="AM11" s="8">
        <v>58643.12</v>
      </c>
      <c r="AN11" s="8"/>
      <c r="AO11" s="8"/>
      <c r="AP11" s="8"/>
      <c r="AQ11" s="8">
        <v>7.11</v>
      </c>
      <c r="AR11" s="8"/>
      <c r="AS11" s="8">
        <v>2.73</v>
      </c>
      <c r="AT11" s="8"/>
      <c r="AU11" s="8">
        <v>4.63</v>
      </c>
      <c r="AV11" s="8"/>
      <c r="AW11" s="8">
        <v>3</v>
      </c>
      <c r="AX11" s="8"/>
      <c r="AY11" s="8"/>
      <c r="AZ11" s="8"/>
      <c r="BA11" s="8">
        <v>3</v>
      </c>
      <c r="BB11" s="8"/>
      <c r="BC11" s="8"/>
      <c r="BD11" s="8"/>
      <c r="BE11" s="8"/>
      <c r="BF11" s="8"/>
      <c r="BG11" s="8"/>
      <c r="BH11" s="8"/>
    </row>
    <row r="12" spans="1:66" s="10" customFormat="1" x14ac:dyDescent="0.2">
      <c r="A12" s="6">
        <v>11</v>
      </c>
      <c r="B12" s="6" t="s">
        <v>83</v>
      </c>
      <c r="C12" s="7" t="s">
        <v>84</v>
      </c>
      <c r="D12" s="7">
        <v>141</v>
      </c>
      <c r="E12" s="6">
        <v>2018</v>
      </c>
      <c r="F12" s="6">
        <v>1979</v>
      </c>
      <c r="G12" s="6" t="s">
        <v>62</v>
      </c>
      <c r="H12" s="8">
        <v>14478</v>
      </c>
      <c r="I12" s="8"/>
      <c r="J12" s="9"/>
      <c r="K12" s="8"/>
      <c r="L12" s="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>
        <v>9.18</v>
      </c>
      <c r="AT12" s="8"/>
      <c r="AU12" s="8">
        <v>19.809999999999999</v>
      </c>
      <c r="AV12" s="8"/>
      <c r="AW12" s="8">
        <v>6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11"/>
      <c r="BJ12" s="11"/>
      <c r="BK12" s="11"/>
      <c r="BL12" s="11"/>
      <c r="BM12" s="11"/>
    </row>
    <row r="13" spans="1:66" s="10" customFormat="1" x14ac:dyDescent="0.2">
      <c r="A13" s="6">
        <v>12</v>
      </c>
      <c r="B13" s="6" t="s">
        <v>85</v>
      </c>
      <c r="C13" s="7" t="s">
        <v>86</v>
      </c>
      <c r="D13" s="7">
        <v>441</v>
      </c>
      <c r="E13" s="6">
        <v>2019</v>
      </c>
      <c r="F13" s="6">
        <v>1972</v>
      </c>
      <c r="G13" s="6" t="s">
        <v>87</v>
      </c>
      <c r="H13" s="8">
        <v>51820</v>
      </c>
      <c r="I13" s="8">
        <v>10809.49</v>
      </c>
      <c r="J13" s="8"/>
      <c r="K13" s="8">
        <v>232504.49</v>
      </c>
      <c r="L13" s="8"/>
      <c r="M13" s="8">
        <v>21337.73</v>
      </c>
      <c r="N13" s="8"/>
      <c r="O13" s="8">
        <v>243991.51</v>
      </c>
      <c r="P13" s="8">
        <v>15063.95</v>
      </c>
      <c r="Q13" s="8">
        <v>1</v>
      </c>
      <c r="R13" s="8"/>
      <c r="S13" s="8">
        <v>1</v>
      </c>
      <c r="T13" s="8"/>
      <c r="U13" s="8"/>
      <c r="V13" s="8"/>
      <c r="W13" s="8"/>
      <c r="X13" s="8"/>
      <c r="Y13" s="8"/>
      <c r="Z13" s="8"/>
      <c r="AA13" s="8"/>
      <c r="AB13" s="8"/>
      <c r="AC13" s="8">
        <v>14.18</v>
      </c>
      <c r="AD13" s="8"/>
      <c r="AE13" s="8">
        <v>98552.49</v>
      </c>
      <c r="AF13" s="8"/>
      <c r="AG13" s="8"/>
      <c r="AH13" s="8">
        <v>11655.67</v>
      </c>
      <c r="AI13" s="8"/>
      <c r="AJ13" s="8">
        <v>185911.55</v>
      </c>
      <c r="AK13" s="8">
        <v>19176.53</v>
      </c>
      <c r="AL13" s="8"/>
      <c r="AM13" s="8">
        <v>110229.19</v>
      </c>
      <c r="AN13" s="8"/>
      <c r="AO13" s="8">
        <v>5.16</v>
      </c>
      <c r="AP13" s="8">
        <v>1.62</v>
      </c>
      <c r="AQ13" s="8">
        <v>33.28</v>
      </c>
      <c r="AR13" s="8">
        <v>270.10000000000002</v>
      </c>
      <c r="AS13" s="8">
        <v>10</v>
      </c>
      <c r="AT13" s="8">
        <v>10</v>
      </c>
      <c r="AU13" s="8"/>
      <c r="AV13" s="8"/>
      <c r="AW13" s="8">
        <v>5</v>
      </c>
      <c r="AX13" s="8">
        <v>2</v>
      </c>
      <c r="AY13" s="8"/>
      <c r="AZ13" s="8"/>
      <c r="BA13" s="8"/>
      <c r="BB13" s="8"/>
      <c r="BC13" s="8"/>
      <c r="BD13" s="8"/>
      <c r="BE13" s="8">
        <v>1</v>
      </c>
      <c r="BF13" s="8"/>
      <c r="BG13" s="8"/>
      <c r="BH13" s="8"/>
      <c r="BI13" s="11"/>
      <c r="BJ13" s="11"/>
      <c r="BK13" s="11"/>
      <c r="BL13" s="11"/>
      <c r="BM13" s="11"/>
      <c r="BN13" s="14"/>
    </row>
    <row r="14" spans="1:66" s="10" customFormat="1" x14ac:dyDescent="0.2">
      <c r="A14" s="6">
        <v>13</v>
      </c>
      <c r="B14" s="6" t="s">
        <v>88</v>
      </c>
      <c r="C14" s="7" t="s">
        <v>86</v>
      </c>
      <c r="D14" s="7">
        <v>441</v>
      </c>
      <c r="E14" s="6">
        <v>2019</v>
      </c>
      <c r="F14" s="6">
        <v>1972</v>
      </c>
      <c r="G14" s="6" t="s">
        <v>87</v>
      </c>
      <c r="H14" s="8">
        <v>320000</v>
      </c>
      <c r="I14" s="8">
        <v>4583.16</v>
      </c>
      <c r="J14" s="8"/>
      <c r="K14" s="8">
        <v>35960000</v>
      </c>
      <c r="L14" s="8"/>
      <c r="M14" s="8"/>
      <c r="N14" s="8"/>
      <c r="O14" s="8"/>
      <c r="P14" s="8"/>
      <c r="Q14" s="8">
        <v>1</v>
      </c>
      <c r="R14" s="8"/>
      <c r="S14" s="8">
        <v>8</v>
      </c>
      <c r="T14" s="8">
        <v>2</v>
      </c>
      <c r="U14" s="8"/>
      <c r="V14" s="8"/>
      <c r="W14" s="8"/>
      <c r="X14" s="8"/>
      <c r="Y14" s="8"/>
      <c r="Z14" s="8"/>
      <c r="AA14" s="8"/>
      <c r="AB14" s="8"/>
      <c r="AC14" s="8">
        <v>114</v>
      </c>
      <c r="AD14" s="8"/>
      <c r="AE14" s="8">
        <v>46476.94</v>
      </c>
      <c r="AF14" s="8"/>
      <c r="AG14" s="15"/>
      <c r="AH14" s="15"/>
      <c r="AI14" s="8"/>
      <c r="AJ14" s="8">
        <v>35960000</v>
      </c>
      <c r="AK14" s="8"/>
      <c r="AL14" s="8"/>
      <c r="AM14" s="8"/>
      <c r="AN14" s="8"/>
      <c r="AO14" s="8"/>
      <c r="AP14" s="8"/>
      <c r="AQ14" s="8"/>
      <c r="AR14" s="8"/>
      <c r="AS14" s="8">
        <v>0.14000000000000001</v>
      </c>
      <c r="AT14" s="8"/>
      <c r="AU14" s="8"/>
      <c r="AV14" s="8"/>
      <c r="AW14" s="8">
        <v>2</v>
      </c>
      <c r="AX14" s="8">
        <v>2</v>
      </c>
      <c r="AY14" s="8"/>
      <c r="AZ14" s="8"/>
      <c r="BA14" s="8">
        <v>1</v>
      </c>
      <c r="BB14" s="8"/>
      <c r="BC14" s="8"/>
      <c r="BD14" s="8"/>
      <c r="BE14" s="8">
        <v>2</v>
      </c>
      <c r="BF14" s="8"/>
      <c r="BG14" s="8"/>
      <c r="BH14" s="8"/>
      <c r="BL14" s="11"/>
      <c r="BM14" s="11"/>
    </row>
    <row r="15" spans="1:66" s="10" customFormat="1" x14ac:dyDescent="0.2">
      <c r="A15" s="6">
        <v>14</v>
      </c>
      <c r="B15" s="6" t="s">
        <v>89</v>
      </c>
      <c r="C15" s="7" t="s">
        <v>61</v>
      </c>
      <c r="D15" s="7">
        <v>233</v>
      </c>
      <c r="E15" s="6">
        <v>2020</v>
      </c>
      <c r="F15" s="6">
        <v>1976</v>
      </c>
      <c r="G15" s="6" t="s">
        <v>62</v>
      </c>
      <c r="H15" s="8">
        <v>91023</v>
      </c>
      <c r="I15" s="8">
        <v>133529.12</v>
      </c>
      <c r="J15" s="16">
        <v>138800.44</v>
      </c>
      <c r="K15" s="8">
        <v>2851411.73</v>
      </c>
      <c r="L15" s="8">
        <v>1012028.39</v>
      </c>
      <c r="M15" s="8">
        <v>16989.259999999998</v>
      </c>
      <c r="N15" s="8">
        <v>43927.41</v>
      </c>
      <c r="O15" s="8">
        <v>93011.83</v>
      </c>
      <c r="P15" s="8">
        <v>303465</v>
      </c>
      <c r="Q15" s="8"/>
      <c r="R15" s="8"/>
      <c r="S15" s="8"/>
      <c r="T15" s="8"/>
      <c r="U15" s="8">
        <v>3973.39</v>
      </c>
      <c r="V15" s="8"/>
      <c r="W15" s="8">
        <v>190984.45</v>
      </c>
      <c r="X15" s="8"/>
      <c r="Y15" s="8"/>
      <c r="Z15" s="8"/>
      <c r="AA15" s="8"/>
      <c r="AB15" s="8"/>
      <c r="AC15" s="8">
        <v>81.709999999999994</v>
      </c>
      <c r="AD15" s="8">
        <v>42.42</v>
      </c>
      <c r="AE15" s="8">
        <v>1684.92</v>
      </c>
      <c r="AF15" s="8">
        <v>154.33000000000001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>
        <v>11</v>
      </c>
      <c r="AX15" s="8">
        <v>6</v>
      </c>
      <c r="AY15" s="8"/>
      <c r="AZ15" s="8"/>
      <c r="BA15" s="8"/>
      <c r="BB15" s="8"/>
      <c r="BC15" s="8"/>
      <c r="BD15" s="8"/>
      <c r="BE15" s="8"/>
      <c r="BF15" s="8"/>
      <c r="BG15" s="8"/>
      <c r="BH15" s="8"/>
      <c r="BL15" s="11"/>
      <c r="BM15" s="11"/>
    </row>
    <row r="16" spans="1:66" s="10" customFormat="1" x14ac:dyDescent="0.2">
      <c r="A16" s="6">
        <v>15</v>
      </c>
      <c r="B16" s="6" t="s">
        <v>90</v>
      </c>
      <c r="C16" s="7" t="s">
        <v>91</v>
      </c>
      <c r="D16" s="7">
        <v>230</v>
      </c>
      <c r="E16" s="6">
        <v>2021</v>
      </c>
      <c r="F16" s="6">
        <v>1972</v>
      </c>
      <c r="G16" s="6" t="s">
        <v>65</v>
      </c>
      <c r="H16" s="8">
        <v>27020</v>
      </c>
      <c r="I16" s="8"/>
      <c r="J16" s="9"/>
      <c r="K16" s="8">
        <v>17726.37</v>
      </c>
      <c r="L16" s="9"/>
      <c r="M16" s="8">
        <v>795.46100000000001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>
        <v>0.04</v>
      </c>
      <c r="AD16" s="8"/>
      <c r="AE16" s="8">
        <v>71.88</v>
      </c>
      <c r="AF16" s="8"/>
      <c r="AG16" s="8">
        <v>9425.5400000000009</v>
      </c>
      <c r="AH16" s="8">
        <v>11673.56</v>
      </c>
      <c r="AI16" s="8">
        <v>125889.82</v>
      </c>
      <c r="AJ16" s="8">
        <v>11096.11</v>
      </c>
      <c r="AK16" s="8">
        <v>851.08</v>
      </c>
      <c r="AL16" s="8"/>
      <c r="AM16" s="8">
        <v>39622.54</v>
      </c>
      <c r="AN16" s="8"/>
      <c r="AO16" s="8">
        <v>0.85</v>
      </c>
      <c r="AP16" s="8">
        <v>0.91</v>
      </c>
      <c r="AQ16" s="8">
        <v>1.82</v>
      </c>
      <c r="AR16" s="8">
        <v>1.92</v>
      </c>
      <c r="AS16" s="8">
        <v>3.77</v>
      </c>
      <c r="AT16" s="8">
        <v>0.86</v>
      </c>
      <c r="AU16" s="8">
        <v>3.09</v>
      </c>
      <c r="AV16" s="8">
        <v>1.1399999999999999</v>
      </c>
      <c r="AW16" s="8">
        <v>5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spans="1:76" s="10" customFormat="1" x14ac:dyDescent="0.2">
      <c r="A17" s="6">
        <v>16</v>
      </c>
      <c r="B17" s="6" t="s">
        <v>92</v>
      </c>
      <c r="C17" s="7" t="s">
        <v>64</v>
      </c>
      <c r="D17" s="7">
        <v>230</v>
      </c>
      <c r="E17" s="6">
        <v>2023</v>
      </c>
      <c r="F17" s="6">
        <v>1974</v>
      </c>
      <c r="G17" s="6" t="s">
        <v>65</v>
      </c>
      <c r="H17" s="8">
        <v>1706993</v>
      </c>
      <c r="I17" s="8">
        <v>7026.54</v>
      </c>
      <c r="J17" s="9"/>
      <c r="K17" s="8">
        <v>43001.89</v>
      </c>
      <c r="L17" s="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0.3</v>
      </c>
      <c r="AD17" s="8"/>
      <c r="AE17" s="8">
        <v>2.11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>
        <v>1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spans="1:7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</row>
    <row r="19" spans="1:76" s="23" customFormat="1" x14ac:dyDescent="0.2">
      <c r="A19" s="21"/>
      <c r="B19" s="2" t="s">
        <v>93</v>
      </c>
      <c r="C19" s="2"/>
      <c r="D19" s="2"/>
      <c r="E19" s="2"/>
      <c r="F19" s="2"/>
      <c r="G19" s="2"/>
      <c r="H19" s="22">
        <f>IFERROR(AVERAGE(H2:H17),"")</f>
        <v>177091.5</v>
      </c>
      <c r="I19" s="22">
        <f t="shared" ref="I19:BH19" si="0">IFERROR(AVERAGE(I2:I17),"")</f>
        <v>21283.29</v>
      </c>
      <c r="J19" s="22">
        <f t="shared" si="0"/>
        <v>138800.44</v>
      </c>
      <c r="K19" s="22">
        <f t="shared" si="0"/>
        <v>89617397.789999992</v>
      </c>
      <c r="L19" s="22">
        <f t="shared" si="0"/>
        <v>236961280.27749997</v>
      </c>
      <c r="M19" s="22">
        <f t="shared" si="0"/>
        <v>65236.712999999996</v>
      </c>
      <c r="N19" s="22">
        <f t="shared" si="0"/>
        <v>73504.058000000005</v>
      </c>
      <c r="O19" s="22">
        <f t="shared" si="0"/>
        <v>582030.22571428574</v>
      </c>
      <c r="P19" s="22">
        <f t="shared" si="0"/>
        <v>549420.84333333338</v>
      </c>
      <c r="Q19" s="22">
        <f t="shared" si="0"/>
        <v>1</v>
      </c>
      <c r="R19" s="22" t="str">
        <f t="shared" si="0"/>
        <v/>
      </c>
      <c r="S19" s="22">
        <f t="shared" si="0"/>
        <v>4</v>
      </c>
      <c r="T19" s="22">
        <f t="shared" si="0"/>
        <v>2.5</v>
      </c>
      <c r="U19" s="22">
        <f t="shared" si="0"/>
        <v>8241.3549999999996</v>
      </c>
      <c r="V19" s="22">
        <f t="shared" si="0"/>
        <v>12509.32</v>
      </c>
      <c r="W19" s="22">
        <f t="shared" si="0"/>
        <v>68667.070000000007</v>
      </c>
      <c r="X19" s="22">
        <f t="shared" si="0"/>
        <v>7508.3799999999992</v>
      </c>
      <c r="Y19" s="22" t="str">
        <f t="shared" si="0"/>
        <v/>
      </c>
      <c r="Z19" s="22" t="str">
        <f t="shared" si="0"/>
        <v/>
      </c>
      <c r="AA19" s="22">
        <f t="shared" si="0"/>
        <v>45449.090000000004</v>
      </c>
      <c r="AB19" s="22">
        <f t="shared" si="0"/>
        <v>49607.125</v>
      </c>
      <c r="AC19" s="22">
        <f>IFERROR(AVERAGE(AC2:AC17),"")</f>
        <v>86.343999999999994</v>
      </c>
      <c r="AD19" s="22">
        <f>IFERROR(AVERAGE(AD2:AD17),"")</f>
        <v>138.48399999999998</v>
      </c>
      <c r="AE19" s="22">
        <f>IFERROR(AVERAGE(AE2:AE17),"")</f>
        <v>44155.556666666671</v>
      </c>
      <c r="AF19" s="22">
        <f>IFERROR(AVERAGE(AF2:AF17),"")</f>
        <v>63921.080000000009</v>
      </c>
      <c r="AG19" s="22">
        <f t="shared" si="0"/>
        <v>8635.8724000000002</v>
      </c>
      <c r="AH19" s="22">
        <f t="shared" si="0"/>
        <v>8781.18</v>
      </c>
      <c r="AI19" s="22">
        <f t="shared" si="0"/>
        <v>180122.91166666665</v>
      </c>
      <c r="AJ19" s="22">
        <f t="shared" si="0"/>
        <v>6142620.8899999997</v>
      </c>
      <c r="AK19" s="22">
        <f t="shared" si="0"/>
        <v>10597.894999999999</v>
      </c>
      <c r="AL19" s="22">
        <f t="shared" si="0"/>
        <v>11533.004999999999</v>
      </c>
      <c r="AM19" s="22">
        <f t="shared" si="0"/>
        <v>99483.328333333353</v>
      </c>
      <c r="AN19" s="22">
        <f t="shared" si="0"/>
        <v>134847.83499999999</v>
      </c>
      <c r="AO19" s="22">
        <f t="shared" si="0"/>
        <v>1.954</v>
      </c>
      <c r="AP19" s="22">
        <f t="shared" si="0"/>
        <v>1.615</v>
      </c>
      <c r="AQ19" s="22">
        <f t="shared" si="0"/>
        <v>12.751666666666665</v>
      </c>
      <c r="AR19" s="22">
        <f t="shared" si="0"/>
        <v>76.340000000000018</v>
      </c>
      <c r="AS19" s="22">
        <f t="shared" si="0"/>
        <v>5.3657142857142857</v>
      </c>
      <c r="AT19" s="22">
        <f t="shared" si="0"/>
        <v>4.8866666666666667</v>
      </c>
      <c r="AU19" s="22">
        <f t="shared" si="0"/>
        <v>9.1766666666666659</v>
      </c>
      <c r="AV19" s="22">
        <f t="shared" si="0"/>
        <v>1.1399999999999999</v>
      </c>
      <c r="AW19" s="22">
        <f t="shared" si="0"/>
        <v>3.9285714285714284</v>
      </c>
      <c r="AX19" s="22">
        <f t="shared" si="0"/>
        <v>3.5</v>
      </c>
      <c r="AY19" s="22" t="str">
        <f t="shared" si="0"/>
        <v/>
      </c>
      <c r="AZ19" s="22" t="str">
        <f t="shared" si="0"/>
        <v/>
      </c>
      <c r="BA19" s="22">
        <f t="shared" si="0"/>
        <v>1.6666666666666667</v>
      </c>
      <c r="BB19" s="22">
        <f t="shared" si="0"/>
        <v>1</v>
      </c>
      <c r="BC19" s="22" t="str">
        <f t="shared" si="0"/>
        <v/>
      </c>
      <c r="BD19" s="22" t="str">
        <f t="shared" si="0"/>
        <v/>
      </c>
      <c r="BE19" s="22">
        <f t="shared" si="0"/>
        <v>1.4</v>
      </c>
      <c r="BF19" s="22">
        <f t="shared" si="0"/>
        <v>1.5</v>
      </c>
      <c r="BG19" s="22">
        <f t="shared" si="0"/>
        <v>1</v>
      </c>
      <c r="BH19" s="22">
        <f t="shared" si="0"/>
        <v>1</v>
      </c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</row>
    <row r="20" spans="1:76" x14ac:dyDescent="0.2">
      <c r="A20" s="19"/>
      <c r="B20" s="2" t="s">
        <v>94</v>
      </c>
      <c r="C20" s="2"/>
      <c r="D20" s="2"/>
      <c r="E20" s="2"/>
      <c r="F20" s="2"/>
      <c r="G20" s="2"/>
      <c r="H20" s="22">
        <f>MIN(H2:H17)</f>
        <v>9961</v>
      </c>
      <c r="I20" s="22">
        <f t="shared" ref="I20:BH20" si="1">MIN(I2:I17)</f>
        <v>437.22</v>
      </c>
      <c r="J20" s="22">
        <f t="shared" si="1"/>
        <v>138800.44</v>
      </c>
      <c r="K20" s="22">
        <f t="shared" si="1"/>
        <v>4587.24</v>
      </c>
      <c r="L20" s="22">
        <f t="shared" si="1"/>
        <v>34082.93</v>
      </c>
      <c r="M20" s="22">
        <f>MIN(M2:M17)</f>
        <v>795.46100000000001</v>
      </c>
      <c r="N20" s="22">
        <f t="shared" si="1"/>
        <v>9307.92</v>
      </c>
      <c r="O20" s="22">
        <f t="shared" si="1"/>
        <v>2282.7199999999998</v>
      </c>
      <c r="P20" s="22">
        <f t="shared" si="1"/>
        <v>15063.95</v>
      </c>
      <c r="Q20" s="22">
        <f t="shared" si="1"/>
        <v>1</v>
      </c>
      <c r="R20" s="22">
        <f t="shared" si="1"/>
        <v>0</v>
      </c>
      <c r="S20" s="22">
        <f t="shared" si="1"/>
        <v>1</v>
      </c>
      <c r="T20" s="22">
        <f t="shared" si="1"/>
        <v>2</v>
      </c>
      <c r="U20" s="22">
        <f t="shared" si="1"/>
        <v>3973.39</v>
      </c>
      <c r="V20" s="22">
        <f t="shared" si="1"/>
        <v>12509.32</v>
      </c>
      <c r="W20" s="22">
        <f t="shared" si="1"/>
        <v>4450.04</v>
      </c>
      <c r="X20" s="22">
        <f t="shared" si="1"/>
        <v>4450.04</v>
      </c>
      <c r="Y20" s="22">
        <f t="shared" si="1"/>
        <v>0</v>
      </c>
      <c r="Z20" s="22">
        <f t="shared" si="1"/>
        <v>0</v>
      </c>
      <c r="AA20" s="22">
        <f t="shared" si="1"/>
        <v>2688.24</v>
      </c>
      <c r="AB20" s="22">
        <f t="shared" si="1"/>
        <v>11004.31</v>
      </c>
      <c r="AC20" s="22">
        <f t="shared" si="1"/>
        <v>0.04</v>
      </c>
      <c r="AD20" s="22">
        <f t="shared" si="1"/>
        <v>3.93</v>
      </c>
      <c r="AE20" s="22">
        <f t="shared" si="1"/>
        <v>2.11</v>
      </c>
      <c r="AF20" s="22">
        <f t="shared" si="1"/>
        <v>8.2200000000000006</v>
      </c>
      <c r="AG20" s="22">
        <f t="shared" si="1"/>
        <v>322.52999999999997</v>
      </c>
      <c r="AH20" s="22">
        <f t="shared" si="1"/>
        <v>3628.17</v>
      </c>
      <c r="AI20" s="22">
        <f t="shared" si="1"/>
        <v>5302.45</v>
      </c>
      <c r="AJ20" s="22">
        <f t="shared" si="1"/>
        <v>11096.11</v>
      </c>
      <c r="AK20" s="22">
        <f t="shared" si="1"/>
        <v>662.28</v>
      </c>
      <c r="AL20" s="22">
        <f t="shared" si="1"/>
        <v>662.28</v>
      </c>
      <c r="AM20" s="22">
        <f t="shared" si="1"/>
        <v>1679.95</v>
      </c>
      <c r="AN20" s="22">
        <f t="shared" si="1"/>
        <v>1679.95</v>
      </c>
      <c r="AO20" s="22">
        <f t="shared" si="1"/>
        <v>0.72</v>
      </c>
      <c r="AP20" s="22">
        <f t="shared" si="1"/>
        <v>0.91</v>
      </c>
      <c r="AQ20" s="22">
        <f t="shared" si="1"/>
        <v>1.1200000000000001</v>
      </c>
      <c r="AR20" s="22">
        <f t="shared" si="1"/>
        <v>1.92</v>
      </c>
      <c r="AS20" s="22">
        <f t="shared" si="1"/>
        <v>0.14000000000000001</v>
      </c>
      <c r="AT20" s="22">
        <f t="shared" si="1"/>
        <v>0.86</v>
      </c>
      <c r="AU20" s="22">
        <f t="shared" si="1"/>
        <v>3.09</v>
      </c>
      <c r="AV20" s="22">
        <f t="shared" si="1"/>
        <v>1.1399999999999999</v>
      </c>
      <c r="AW20" s="22">
        <f t="shared" si="1"/>
        <v>1</v>
      </c>
      <c r="AX20" s="22">
        <f t="shared" si="1"/>
        <v>1</v>
      </c>
      <c r="AY20" s="22">
        <f t="shared" si="1"/>
        <v>0</v>
      </c>
      <c r="AZ20" s="22">
        <f t="shared" si="1"/>
        <v>0</v>
      </c>
      <c r="BA20" s="22">
        <f t="shared" si="1"/>
        <v>1</v>
      </c>
      <c r="BB20" s="22">
        <f t="shared" si="1"/>
        <v>1</v>
      </c>
      <c r="BC20" s="22">
        <f t="shared" si="1"/>
        <v>0</v>
      </c>
      <c r="BD20" s="22">
        <f t="shared" si="1"/>
        <v>0</v>
      </c>
      <c r="BE20" s="22">
        <f t="shared" si="1"/>
        <v>1</v>
      </c>
      <c r="BF20" s="22">
        <f t="shared" si="1"/>
        <v>1</v>
      </c>
      <c r="BG20" s="22">
        <f t="shared" si="1"/>
        <v>1</v>
      </c>
      <c r="BH20" s="22">
        <f t="shared" si="1"/>
        <v>1</v>
      </c>
      <c r="BI20" s="24"/>
      <c r="BJ20" s="24"/>
      <c r="BK20" s="24"/>
      <c r="BL20" s="24"/>
      <c r="BM20" s="24"/>
    </row>
    <row r="21" spans="1:76" x14ac:dyDescent="0.2">
      <c r="A21" s="19"/>
      <c r="B21" s="2" t="s">
        <v>95</v>
      </c>
      <c r="C21" s="2"/>
      <c r="D21" s="2"/>
      <c r="E21" s="2"/>
      <c r="F21" s="2"/>
      <c r="G21" s="2"/>
      <c r="H21" s="22">
        <f>MAX(H2:H17)</f>
        <v>1706993</v>
      </c>
      <c r="I21" s="22">
        <f t="shared" ref="I21:BH21" si="2">MAX(I2:I17)</f>
        <v>133529.12</v>
      </c>
      <c r="J21" s="22">
        <f t="shared" si="2"/>
        <v>138800.44</v>
      </c>
      <c r="K21" s="22">
        <f t="shared" si="2"/>
        <v>946591790.05999994</v>
      </c>
      <c r="L21" s="22">
        <f t="shared" si="2"/>
        <v>946591790.05999994</v>
      </c>
      <c r="M21" s="22">
        <f t="shared" si="2"/>
        <v>277755.98</v>
      </c>
      <c r="N21" s="22">
        <f t="shared" si="2"/>
        <v>273243.59999999998</v>
      </c>
      <c r="O21" s="22">
        <f t="shared" si="2"/>
        <v>2929445.96</v>
      </c>
      <c r="P21" s="22">
        <f t="shared" si="2"/>
        <v>2008848.14</v>
      </c>
      <c r="Q21" s="22">
        <f t="shared" si="2"/>
        <v>1</v>
      </c>
      <c r="R21" s="22">
        <f t="shared" si="2"/>
        <v>0</v>
      </c>
      <c r="S21" s="22">
        <f t="shared" si="2"/>
        <v>8</v>
      </c>
      <c r="T21" s="22">
        <f t="shared" si="2"/>
        <v>3</v>
      </c>
      <c r="U21" s="22">
        <f t="shared" si="2"/>
        <v>12509.32</v>
      </c>
      <c r="V21" s="22">
        <f t="shared" si="2"/>
        <v>12509.32</v>
      </c>
      <c r="W21" s="22">
        <f t="shared" si="2"/>
        <v>190984.45</v>
      </c>
      <c r="X21" s="22">
        <f t="shared" si="2"/>
        <v>10566.72</v>
      </c>
      <c r="Y21" s="22">
        <f t="shared" si="2"/>
        <v>0</v>
      </c>
      <c r="Z21" s="22">
        <f t="shared" si="2"/>
        <v>0</v>
      </c>
      <c r="AA21" s="22">
        <f t="shared" si="2"/>
        <v>88209.94</v>
      </c>
      <c r="AB21" s="22">
        <f t="shared" si="2"/>
        <v>88209.94</v>
      </c>
      <c r="AC21" s="22">
        <f t="shared" si="2"/>
        <v>445.86</v>
      </c>
      <c r="AD21" s="22">
        <f t="shared" si="2"/>
        <v>445.86</v>
      </c>
      <c r="AE21" s="22">
        <f t="shared" si="2"/>
        <v>381505.8</v>
      </c>
      <c r="AF21" s="22">
        <f t="shared" si="2"/>
        <v>381505.8</v>
      </c>
      <c r="AG21" s="22">
        <f t="shared" si="2"/>
        <v>23997.13</v>
      </c>
      <c r="AH21" s="22">
        <f t="shared" si="2"/>
        <v>11673.56</v>
      </c>
      <c r="AI21" s="22">
        <f t="shared" si="2"/>
        <v>834701.61</v>
      </c>
      <c r="AJ21" s="22">
        <f t="shared" si="2"/>
        <v>35960000</v>
      </c>
      <c r="AK21" s="22">
        <f t="shared" si="2"/>
        <v>35713.919999999998</v>
      </c>
      <c r="AL21" s="22">
        <f t="shared" si="2"/>
        <v>22403.73</v>
      </c>
      <c r="AM21" s="22">
        <f t="shared" si="2"/>
        <v>314859.15000000002</v>
      </c>
      <c r="AN21" s="22">
        <f t="shared" si="2"/>
        <v>268015.71999999997</v>
      </c>
      <c r="AO21" s="22">
        <f t="shared" si="2"/>
        <v>5.16</v>
      </c>
      <c r="AP21" s="22">
        <f t="shared" si="2"/>
        <v>2.23</v>
      </c>
      <c r="AQ21" s="22">
        <f t="shared" si="2"/>
        <v>33.28</v>
      </c>
      <c r="AR21" s="22">
        <f t="shared" si="2"/>
        <v>270.10000000000002</v>
      </c>
      <c r="AS21" s="22">
        <f t="shared" si="2"/>
        <v>10</v>
      </c>
      <c r="AT21" s="22">
        <f t="shared" si="2"/>
        <v>10</v>
      </c>
      <c r="AU21" s="22">
        <f t="shared" si="2"/>
        <v>19.809999999999999</v>
      </c>
      <c r="AV21" s="22">
        <f t="shared" si="2"/>
        <v>1.1399999999999999</v>
      </c>
      <c r="AW21" s="22">
        <f t="shared" si="2"/>
        <v>11</v>
      </c>
      <c r="AX21" s="22">
        <f t="shared" si="2"/>
        <v>9</v>
      </c>
      <c r="AY21" s="22">
        <f t="shared" si="2"/>
        <v>0</v>
      </c>
      <c r="AZ21" s="22">
        <f t="shared" si="2"/>
        <v>0</v>
      </c>
      <c r="BA21" s="22">
        <f t="shared" si="2"/>
        <v>3</v>
      </c>
      <c r="BB21" s="22">
        <f t="shared" si="2"/>
        <v>1</v>
      </c>
      <c r="BC21" s="22">
        <f t="shared" si="2"/>
        <v>0</v>
      </c>
      <c r="BD21" s="22">
        <f t="shared" si="2"/>
        <v>0</v>
      </c>
      <c r="BE21" s="22">
        <f t="shared" si="2"/>
        <v>2</v>
      </c>
      <c r="BF21" s="22">
        <f t="shared" si="2"/>
        <v>2</v>
      </c>
      <c r="BG21" s="22">
        <f t="shared" si="2"/>
        <v>1</v>
      </c>
      <c r="BH21" s="22">
        <f t="shared" si="2"/>
        <v>1</v>
      </c>
      <c r="BI21" s="25"/>
      <c r="BJ21" s="25"/>
      <c r="BK21" s="25"/>
      <c r="BL21" s="25"/>
      <c r="BM21" s="25"/>
    </row>
    <row r="22" spans="1:76" x14ac:dyDescent="0.2">
      <c r="A22" s="17"/>
      <c r="B22" s="2" t="s">
        <v>96</v>
      </c>
      <c r="C22" s="2"/>
      <c r="D22" s="2"/>
      <c r="E22" s="2"/>
      <c r="F22" s="2"/>
      <c r="G22" s="2"/>
      <c r="H22" s="21">
        <f>IFERROR(MEDIAN(H2:H17),"")</f>
        <v>58002</v>
      </c>
      <c r="I22" s="21">
        <f t="shared" ref="I22:BH22" si="3">IFERROR(MEDIAN(I2:I17),"")</f>
        <v>5804.85</v>
      </c>
      <c r="J22" s="21">
        <f t="shared" si="3"/>
        <v>138800.44</v>
      </c>
      <c r="K22" s="21">
        <f t="shared" si="3"/>
        <v>30747.45</v>
      </c>
      <c r="L22" s="21">
        <f t="shared" si="3"/>
        <v>609624.06000000006</v>
      </c>
      <c r="M22" s="21">
        <f t="shared" si="3"/>
        <v>20519.98</v>
      </c>
      <c r="N22" s="21">
        <f t="shared" si="3"/>
        <v>23433.4</v>
      </c>
      <c r="O22" s="21">
        <f t="shared" si="3"/>
        <v>186439.38</v>
      </c>
      <c r="P22" s="21">
        <f t="shared" si="3"/>
        <v>204791.18</v>
      </c>
      <c r="Q22" s="21">
        <f t="shared" si="3"/>
        <v>1</v>
      </c>
      <c r="R22" s="21" t="str">
        <f t="shared" si="3"/>
        <v/>
      </c>
      <c r="S22" s="21">
        <f t="shared" si="3"/>
        <v>3</v>
      </c>
      <c r="T22" s="21">
        <f t="shared" si="3"/>
        <v>2.5</v>
      </c>
      <c r="U22" s="22">
        <f t="shared" si="3"/>
        <v>8241.3549999999996</v>
      </c>
      <c r="V22" s="21">
        <f t="shared" si="3"/>
        <v>12509.32</v>
      </c>
      <c r="W22" s="21">
        <f t="shared" si="3"/>
        <v>10566.72</v>
      </c>
      <c r="X22" s="21">
        <f t="shared" si="3"/>
        <v>7508.3799999999992</v>
      </c>
      <c r="Y22" s="21" t="str">
        <f t="shared" si="3"/>
        <v/>
      </c>
      <c r="Z22" s="21" t="str">
        <f t="shared" si="3"/>
        <v/>
      </c>
      <c r="AA22" s="21">
        <f t="shared" si="3"/>
        <v>45449.09</v>
      </c>
      <c r="AB22" s="22">
        <f t="shared" si="3"/>
        <v>49607.125</v>
      </c>
      <c r="AC22" s="21">
        <f t="shared" si="3"/>
        <v>10.17</v>
      </c>
      <c r="AD22" s="21">
        <f t="shared" si="3"/>
        <v>42.42</v>
      </c>
      <c r="AE22" s="22">
        <f t="shared" si="3"/>
        <v>69.055000000000007</v>
      </c>
      <c r="AF22" s="21">
        <f t="shared" si="3"/>
        <v>110.28</v>
      </c>
      <c r="AG22" s="22">
        <f t="shared" si="3"/>
        <v>8167.32</v>
      </c>
      <c r="AH22" s="21">
        <f t="shared" si="3"/>
        <v>9911.494999999999</v>
      </c>
      <c r="AI22" s="22">
        <f t="shared" si="3"/>
        <v>51824.084999999999</v>
      </c>
      <c r="AJ22" s="22">
        <f t="shared" si="3"/>
        <v>113666.985</v>
      </c>
      <c r="AK22" s="21">
        <f t="shared" si="3"/>
        <v>3591.7799999999997</v>
      </c>
      <c r="AL22" s="21">
        <f t="shared" si="3"/>
        <v>11533.005000000001</v>
      </c>
      <c r="AM22" s="21">
        <f t="shared" si="3"/>
        <v>65254.570000000007</v>
      </c>
      <c r="AN22" s="21">
        <f t="shared" si="3"/>
        <v>134847.83499999999</v>
      </c>
      <c r="AO22" s="21">
        <f t="shared" si="3"/>
        <v>1.34</v>
      </c>
      <c r="AP22" s="21">
        <f t="shared" si="3"/>
        <v>1.6600000000000001</v>
      </c>
      <c r="AQ22" s="21">
        <f t="shared" si="3"/>
        <v>5.5500000000000007</v>
      </c>
      <c r="AR22" s="21">
        <f t="shared" si="3"/>
        <v>16.670000000000002</v>
      </c>
      <c r="AS22" s="21">
        <f t="shared" si="3"/>
        <v>3.8</v>
      </c>
      <c r="AT22" s="21">
        <f t="shared" si="3"/>
        <v>3.8</v>
      </c>
      <c r="AU22" s="21">
        <f t="shared" si="3"/>
        <v>4.63</v>
      </c>
      <c r="AV22" s="21">
        <f t="shared" si="3"/>
        <v>1.1399999999999999</v>
      </c>
      <c r="AW22" s="21">
        <f t="shared" si="3"/>
        <v>3</v>
      </c>
      <c r="AX22" s="21">
        <f t="shared" si="3"/>
        <v>2.5</v>
      </c>
      <c r="AY22" s="21" t="str">
        <f t="shared" si="3"/>
        <v/>
      </c>
      <c r="AZ22" s="21" t="str">
        <f t="shared" si="3"/>
        <v/>
      </c>
      <c r="BA22" s="21">
        <f t="shared" si="3"/>
        <v>1</v>
      </c>
      <c r="BB22" s="21">
        <f t="shared" si="3"/>
        <v>1</v>
      </c>
      <c r="BC22" s="21" t="str">
        <f t="shared" si="3"/>
        <v/>
      </c>
      <c r="BD22" s="21" t="str">
        <f t="shared" si="3"/>
        <v/>
      </c>
      <c r="BE22" s="21">
        <f t="shared" si="3"/>
        <v>1</v>
      </c>
      <c r="BF22" s="21">
        <f t="shared" si="3"/>
        <v>1.5</v>
      </c>
      <c r="BG22" s="21">
        <f t="shared" si="3"/>
        <v>1</v>
      </c>
      <c r="BH22" s="21">
        <f t="shared" si="3"/>
        <v>1</v>
      </c>
      <c r="BI22" s="26"/>
      <c r="BL22" s="26"/>
      <c r="BM22" s="26"/>
    </row>
    <row r="23" spans="1:76" x14ac:dyDescent="0.2">
      <c r="A23" s="17"/>
      <c r="B23" s="27" t="s">
        <v>97</v>
      </c>
      <c r="C23" s="27"/>
      <c r="D23" s="27"/>
      <c r="E23" s="27"/>
      <c r="F23" s="27"/>
      <c r="G23" s="27"/>
      <c r="H23" s="22">
        <f>_xlfn.STDEV.S(H2:H17)</f>
        <v>415611.23810262879</v>
      </c>
      <c r="I23" s="22">
        <f>_xlfn.STDEV.S(I2:I17)</f>
        <v>45528.924050566544</v>
      </c>
      <c r="J23" s="21" t="str">
        <f>IFERROR(_xlfn.STDEV.S(J2:J17),"")</f>
        <v/>
      </c>
      <c r="K23" s="22">
        <f t="shared" ref="K23:BH23" si="4">IFERROR(_xlfn.STDEV.S(K2:K17),"")</f>
        <v>284428069.97757566</v>
      </c>
      <c r="L23" s="22">
        <f t="shared" si="4"/>
        <v>473087198.41382027</v>
      </c>
      <c r="M23" s="22">
        <f t="shared" si="4"/>
        <v>100580.81691515139</v>
      </c>
      <c r="N23" s="22">
        <f t="shared" si="4"/>
        <v>112386.88918594917</v>
      </c>
      <c r="O23" s="22">
        <f t="shared" si="4"/>
        <v>1048147.8678033199</v>
      </c>
      <c r="P23" s="22">
        <f t="shared" si="4"/>
        <v>764001.5665854956</v>
      </c>
      <c r="Q23" s="22">
        <f t="shared" si="4"/>
        <v>0</v>
      </c>
      <c r="R23" s="22" t="str">
        <f t="shared" si="4"/>
        <v/>
      </c>
      <c r="S23" s="22">
        <f t="shared" si="4"/>
        <v>3.6055512754639891</v>
      </c>
      <c r="T23" s="22">
        <f t="shared" si="4"/>
        <v>0.70710678118654757</v>
      </c>
      <c r="U23" s="22">
        <f t="shared" si="4"/>
        <v>6035.8139867336877</v>
      </c>
      <c r="V23" s="22" t="str">
        <f t="shared" si="4"/>
        <v/>
      </c>
      <c r="W23" s="22">
        <f t="shared" si="4"/>
        <v>105974.09839722111</v>
      </c>
      <c r="X23" s="22">
        <f t="shared" si="4"/>
        <v>4325.1459063481325</v>
      </c>
      <c r="Y23" s="22" t="str">
        <f t="shared" si="4"/>
        <v/>
      </c>
      <c r="Z23" s="22" t="str">
        <f t="shared" si="4"/>
        <v/>
      </c>
      <c r="AA23" s="22">
        <f t="shared" si="4"/>
        <v>60472.974008601552</v>
      </c>
      <c r="AB23" s="22">
        <f t="shared" si="4"/>
        <v>54592.624518779558</v>
      </c>
      <c r="AC23" s="22">
        <f t="shared" si="4"/>
        <v>142.14010577986465</v>
      </c>
      <c r="AD23" s="22">
        <f t="shared" si="4"/>
        <v>188.68644474365405</v>
      </c>
      <c r="AE23" s="22">
        <f t="shared" si="4"/>
        <v>110382.65095921725</v>
      </c>
      <c r="AF23" s="22">
        <f t="shared" si="4"/>
        <v>155585.61869895365</v>
      </c>
      <c r="AG23" s="22">
        <f t="shared" si="4"/>
        <v>9489.8053486274839</v>
      </c>
      <c r="AH23" s="22">
        <f t="shared" si="4"/>
        <v>3810.4632694813695</v>
      </c>
      <c r="AI23" s="22">
        <f t="shared" si="4"/>
        <v>324218.70412488899</v>
      </c>
      <c r="AJ23" s="22">
        <f t="shared" si="4"/>
        <v>14609380.589027826</v>
      </c>
      <c r="AK23" s="22">
        <f t="shared" si="4"/>
        <v>14131.14548596645</v>
      </c>
      <c r="AL23" s="22">
        <f t="shared" si="4"/>
        <v>15373.526727828263</v>
      </c>
      <c r="AM23" s="22">
        <f t="shared" si="4"/>
        <v>111428.60604991941</v>
      </c>
      <c r="AN23" s="22">
        <f t="shared" si="4"/>
        <v>188327.82903954061</v>
      </c>
      <c r="AO23" s="22">
        <f t="shared" si="4"/>
        <v>1.8344972063211222</v>
      </c>
      <c r="AP23" s="22">
        <f t="shared" si="4"/>
        <v>0.54237133650909941</v>
      </c>
      <c r="AQ23" s="22">
        <f t="shared" si="4"/>
        <v>14.526000711368107</v>
      </c>
      <c r="AR23" s="22">
        <f t="shared" si="4"/>
        <v>129.77397864492457</v>
      </c>
      <c r="AS23" s="22">
        <f t="shared" si="4"/>
        <v>3.6947072826899152</v>
      </c>
      <c r="AT23" s="22">
        <f t="shared" si="4"/>
        <v>4.6658904116292019</v>
      </c>
      <c r="AU23" s="22">
        <f t="shared" si="4"/>
        <v>9.2408729746346641</v>
      </c>
      <c r="AV23" s="22" t="str">
        <f t="shared" si="4"/>
        <v/>
      </c>
      <c r="AW23" s="22">
        <f t="shared" si="4"/>
        <v>3.2454532862093446</v>
      </c>
      <c r="AX23" s="22">
        <f t="shared" si="4"/>
        <v>2.6726124191242437</v>
      </c>
      <c r="AY23" s="22" t="str">
        <f t="shared" si="4"/>
        <v/>
      </c>
      <c r="AZ23" s="22" t="str">
        <f t="shared" si="4"/>
        <v/>
      </c>
      <c r="BA23" s="22">
        <f t="shared" si="4"/>
        <v>1.1547005383792515</v>
      </c>
      <c r="BB23" s="22" t="str">
        <f t="shared" si="4"/>
        <v/>
      </c>
      <c r="BC23" s="22" t="str">
        <f t="shared" si="4"/>
        <v/>
      </c>
      <c r="BD23" s="22" t="str">
        <f t="shared" si="4"/>
        <v/>
      </c>
      <c r="BE23" s="22">
        <f t="shared" si="4"/>
        <v>0.54772255750516596</v>
      </c>
      <c r="BF23" s="22">
        <f t="shared" si="4"/>
        <v>0.70710678118654757</v>
      </c>
      <c r="BG23" s="22" t="str">
        <f t="shared" si="4"/>
        <v/>
      </c>
      <c r="BH23" s="22" t="str">
        <f t="shared" si="4"/>
        <v/>
      </c>
      <c r="BL23" s="26"/>
      <c r="BM23" s="26"/>
    </row>
    <row r="24" spans="1:76" x14ac:dyDescent="0.2">
      <c r="A24" s="17"/>
      <c r="B24" s="27" t="s">
        <v>98</v>
      </c>
      <c r="C24" s="27"/>
      <c r="D24" s="27"/>
      <c r="E24" s="27"/>
      <c r="F24" s="27"/>
      <c r="G24" s="27"/>
      <c r="H24" s="21">
        <f>IFERROR(_xlfn.QUARTILE.INC(H2:H17,1),"")</f>
        <v>24378.75</v>
      </c>
      <c r="I24" s="22">
        <f t="shared" ref="I24:BH24" si="5">IFERROR(_xlfn.QUARTILE.INC(I2:I17,1),"")</f>
        <v>1944.0775000000001</v>
      </c>
      <c r="J24" s="22">
        <f t="shared" si="5"/>
        <v>138800.44</v>
      </c>
      <c r="K24" s="22">
        <f t="shared" si="5"/>
        <v>19117.724999999999</v>
      </c>
      <c r="L24" s="22">
        <f t="shared" si="5"/>
        <v>163935.53</v>
      </c>
      <c r="M24" s="22">
        <f t="shared" si="5"/>
        <v>13148.59</v>
      </c>
      <c r="N24" s="22">
        <f t="shared" si="5"/>
        <v>17607.96</v>
      </c>
      <c r="O24" s="22">
        <f t="shared" si="5"/>
        <v>97107.975000000006</v>
      </c>
      <c r="P24" s="22">
        <f t="shared" si="5"/>
        <v>102432.43</v>
      </c>
      <c r="Q24" s="22">
        <f t="shared" si="5"/>
        <v>1</v>
      </c>
      <c r="R24" s="22" t="str">
        <f t="shared" si="5"/>
        <v/>
      </c>
      <c r="S24" s="22">
        <f t="shared" si="5"/>
        <v>2</v>
      </c>
      <c r="T24" s="22">
        <f t="shared" si="5"/>
        <v>2.25</v>
      </c>
      <c r="U24" s="22">
        <f t="shared" si="5"/>
        <v>6107.3724999999995</v>
      </c>
      <c r="V24" s="22">
        <f t="shared" si="5"/>
        <v>12509.32</v>
      </c>
      <c r="W24" s="22">
        <f t="shared" si="5"/>
        <v>7508.3799999999992</v>
      </c>
      <c r="X24" s="22">
        <f t="shared" si="5"/>
        <v>5979.21</v>
      </c>
      <c r="Y24" s="22" t="str">
        <f t="shared" si="5"/>
        <v/>
      </c>
      <c r="Z24" s="22" t="str">
        <f t="shared" si="5"/>
        <v/>
      </c>
      <c r="AA24" s="22">
        <f t="shared" si="5"/>
        <v>24068.665000000001</v>
      </c>
      <c r="AB24" s="22">
        <f t="shared" si="5"/>
        <v>30305.717499999999</v>
      </c>
      <c r="AC24" s="22">
        <f t="shared" si="5"/>
        <v>2.91</v>
      </c>
      <c r="AD24" s="22">
        <f t="shared" si="5"/>
        <v>6.16</v>
      </c>
      <c r="AE24" s="22">
        <f t="shared" si="5"/>
        <v>31.732500000000002</v>
      </c>
      <c r="AF24" s="22">
        <f t="shared" si="5"/>
        <v>30.102499999999999</v>
      </c>
      <c r="AG24" s="22">
        <f t="shared" si="5"/>
        <v>1266.8420000000001</v>
      </c>
      <c r="AH24" s="22">
        <f t="shared" si="5"/>
        <v>7032.5324999999993</v>
      </c>
      <c r="AI24" s="22">
        <f t="shared" si="5"/>
        <v>13147.27</v>
      </c>
      <c r="AJ24" s="22">
        <f t="shared" si="5"/>
        <v>27671.35</v>
      </c>
      <c r="AK24" s="22">
        <f t="shared" si="5"/>
        <v>1277.0174999999999</v>
      </c>
      <c r="AL24" s="22">
        <f t="shared" si="5"/>
        <v>6097.6424999999999</v>
      </c>
      <c r="AM24" s="22">
        <f t="shared" si="5"/>
        <v>44377.684999999998</v>
      </c>
      <c r="AN24" s="22">
        <f t="shared" si="5"/>
        <v>68263.892499999987</v>
      </c>
      <c r="AO24" s="22">
        <f t="shared" si="5"/>
        <v>0.85</v>
      </c>
      <c r="AP24" s="22">
        <f t="shared" si="5"/>
        <v>1.4425000000000001</v>
      </c>
      <c r="AQ24" s="22">
        <f t="shared" si="5"/>
        <v>2.3624999999999998</v>
      </c>
      <c r="AR24" s="22">
        <f t="shared" si="5"/>
        <v>3.4725000000000001</v>
      </c>
      <c r="AS24" s="22">
        <f t="shared" si="5"/>
        <v>3.25</v>
      </c>
      <c r="AT24" s="22">
        <f t="shared" si="5"/>
        <v>2.33</v>
      </c>
      <c r="AU24" s="22">
        <f t="shared" si="5"/>
        <v>3.86</v>
      </c>
      <c r="AV24" s="22">
        <f t="shared" si="5"/>
        <v>1.1399999999999999</v>
      </c>
      <c r="AW24" s="22">
        <f t="shared" si="5"/>
        <v>1.25</v>
      </c>
      <c r="AX24" s="22">
        <f t="shared" si="5"/>
        <v>2</v>
      </c>
      <c r="AY24" s="22" t="str">
        <f t="shared" si="5"/>
        <v/>
      </c>
      <c r="AZ24" s="22" t="str">
        <f t="shared" si="5"/>
        <v/>
      </c>
      <c r="BA24" s="22">
        <f t="shared" si="5"/>
        <v>1</v>
      </c>
      <c r="BB24" s="22">
        <f t="shared" si="5"/>
        <v>1</v>
      </c>
      <c r="BC24" s="22" t="str">
        <f t="shared" si="5"/>
        <v/>
      </c>
      <c r="BD24" s="22" t="str">
        <f t="shared" si="5"/>
        <v/>
      </c>
      <c r="BE24" s="22">
        <f t="shared" si="5"/>
        <v>1</v>
      </c>
      <c r="BF24" s="22">
        <f t="shared" si="5"/>
        <v>1.25</v>
      </c>
      <c r="BG24" s="22">
        <f t="shared" si="5"/>
        <v>1</v>
      </c>
      <c r="BH24" s="22">
        <f t="shared" si="5"/>
        <v>1</v>
      </c>
    </row>
    <row r="25" spans="1:76" x14ac:dyDescent="0.2">
      <c r="A25" s="17"/>
      <c r="B25" s="27" t="s">
        <v>99</v>
      </c>
      <c r="C25" s="27"/>
      <c r="D25" s="27"/>
      <c r="E25" s="27"/>
      <c r="F25" s="27"/>
      <c r="G25" s="27"/>
      <c r="H25" s="21">
        <f>IFERROR(_xlfn.QUARTILE.INC(H2:H17,3),"")</f>
        <v>96017.25</v>
      </c>
      <c r="I25" s="22">
        <f t="shared" ref="I25:BH25" si="6">IFERROR(_xlfn.QUARTILE.INC(I2:I17,3),"")</f>
        <v>10580.747499999999</v>
      </c>
      <c r="J25" s="22">
        <f t="shared" si="6"/>
        <v>138800.44</v>
      </c>
      <c r="K25" s="22">
        <f t="shared" si="6"/>
        <v>1541958.11</v>
      </c>
      <c r="L25" s="22">
        <f t="shared" si="6"/>
        <v>237406968.80749997</v>
      </c>
      <c r="M25" s="22">
        <f t="shared" si="6"/>
        <v>65644.195000000007</v>
      </c>
      <c r="N25" s="22">
        <f t="shared" si="6"/>
        <v>43927.41</v>
      </c>
      <c r="O25" s="22">
        <f t="shared" si="6"/>
        <v>380913.78500000003</v>
      </c>
      <c r="P25" s="22">
        <f t="shared" si="6"/>
        <v>647236.11749999993</v>
      </c>
      <c r="Q25" s="22">
        <f t="shared" si="6"/>
        <v>1</v>
      </c>
      <c r="R25" s="22" t="str">
        <f t="shared" si="6"/>
        <v/>
      </c>
      <c r="S25" s="22">
        <f t="shared" si="6"/>
        <v>5.5</v>
      </c>
      <c r="T25" s="22">
        <f t="shared" si="6"/>
        <v>2.75</v>
      </c>
      <c r="U25" s="22">
        <f t="shared" si="6"/>
        <v>10375.3375</v>
      </c>
      <c r="V25" s="22">
        <f t="shared" si="6"/>
        <v>12509.32</v>
      </c>
      <c r="W25" s="22">
        <f t="shared" si="6"/>
        <v>100775.58500000001</v>
      </c>
      <c r="X25" s="22">
        <f t="shared" si="6"/>
        <v>9037.5499999999993</v>
      </c>
      <c r="Y25" s="22" t="str">
        <f t="shared" si="6"/>
        <v/>
      </c>
      <c r="Z25" s="22" t="str">
        <f t="shared" si="6"/>
        <v/>
      </c>
      <c r="AA25" s="22">
        <f t="shared" si="6"/>
        <v>66829.514999999999</v>
      </c>
      <c r="AB25" s="22">
        <f t="shared" si="6"/>
        <v>68908.532500000001</v>
      </c>
      <c r="AC25" s="22">
        <f t="shared" si="6"/>
        <v>105.92749999999999</v>
      </c>
      <c r="AD25" s="22">
        <f t="shared" si="6"/>
        <v>194.05</v>
      </c>
      <c r="AE25" s="22">
        <f t="shared" si="6"/>
        <v>12882.925000000001</v>
      </c>
      <c r="AF25" s="22">
        <f t="shared" si="6"/>
        <v>1368.9624999999999</v>
      </c>
      <c r="AG25" s="22">
        <f t="shared" si="6"/>
        <v>9425.5400000000009</v>
      </c>
      <c r="AH25" s="22">
        <f t="shared" si="6"/>
        <v>11660.1425</v>
      </c>
      <c r="AI25" s="22">
        <f t="shared" si="6"/>
        <v>115578.70250000001</v>
      </c>
      <c r="AJ25" s="22">
        <f t="shared" si="6"/>
        <v>522133.58749999997</v>
      </c>
      <c r="AK25" s="22">
        <f t="shared" si="6"/>
        <v>15539.579999999998</v>
      </c>
      <c r="AL25" s="22">
        <f t="shared" si="6"/>
        <v>16968.3675</v>
      </c>
      <c r="AM25" s="22">
        <f t="shared" si="6"/>
        <v>100638.39750000001</v>
      </c>
      <c r="AN25" s="22">
        <f t="shared" si="6"/>
        <v>201431.77749999997</v>
      </c>
      <c r="AO25" s="22">
        <f t="shared" si="6"/>
        <v>1.7</v>
      </c>
      <c r="AP25" s="22">
        <f t="shared" si="6"/>
        <v>1.8325</v>
      </c>
      <c r="AQ25" s="22">
        <f t="shared" si="6"/>
        <v>23.67</v>
      </c>
      <c r="AR25" s="22">
        <f t="shared" si="6"/>
        <v>89.537500000000009</v>
      </c>
      <c r="AS25" s="22">
        <f t="shared" si="6"/>
        <v>8.56</v>
      </c>
      <c r="AT25" s="22">
        <f t="shared" si="6"/>
        <v>6.9</v>
      </c>
      <c r="AU25" s="22">
        <f t="shared" si="6"/>
        <v>12.219999999999999</v>
      </c>
      <c r="AV25" s="22">
        <f t="shared" si="6"/>
        <v>1.1399999999999999</v>
      </c>
      <c r="AW25" s="22">
        <f t="shared" si="6"/>
        <v>5</v>
      </c>
      <c r="AX25" s="22">
        <f t="shared" si="6"/>
        <v>3.75</v>
      </c>
      <c r="AY25" s="22" t="str">
        <f t="shared" si="6"/>
        <v/>
      </c>
      <c r="AZ25" s="22" t="str">
        <f t="shared" si="6"/>
        <v/>
      </c>
      <c r="BA25" s="22">
        <f t="shared" si="6"/>
        <v>2</v>
      </c>
      <c r="BB25" s="22">
        <f t="shared" si="6"/>
        <v>1</v>
      </c>
      <c r="BC25" s="22" t="str">
        <f t="shared" si="6"/>
        <v/>
      </c>
      <c r="BD25" s="22" t="str">
        <f t="shared" si="6"/>
        <v/>
      </c>
      <c r="BE25" s="22">
        <f t="shared" si="6"/>
        <v>2</v>
      </c>
      <c r="BF25" s="22">
        <f t="shared" si="6"/>
        <v>1.75</v>
      </c>
      <c r="BG25" s="22">
        <f t="shared" si="6"/>
        <v>1</v>
      </c>
      <c r="BH25" s="22">
        <f t="shared" si="6"/>
        <v>1</v>
      </c>
    </row>
    <row r="26" spans="1:76" x14ac:dyDescent="0.2">
      <c r="A26" s="17"/>
      <c r="B26" s="17"/>
      <c r="C26" s="17"/>
      <c r="D26" s="17"/>
      <c r="E26" s="17"/>
      <c r="F26" s="17"/>
      <c r="G26" s="17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</row>
    <row r="27" spans="1:76" x14ac:dyDescent="0.2">
      <c r="A27" s="17"/>
      <c r="B27" s="17"/>
      <c r="C27" s="17"/>
      <c r="D27" s="17"/>
      <c r="E27" s="17"/>
      <c r="F27" s="17"/>
      <c r="G27" s="17"/>
      <c r="H27" s="21"/>
      <c r="I27" s="21"/>
      <c r="J27" s="28"/>
      <c r="K27" s="28"/>
      <c r="L27" s="28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</row>
    <row r="28" spans="1:76" x14ac:dyDescent="0.2">
      <c r="A28" s="17"/>
      <c r="B28" s="17"/>
      <c r="C28" s="17"/>
      <c r="D28" s="17"/>
      <c r="E28" s="17"/>
      <c r="F28" s="17"/>
      <c r="G28" s="17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</row>
    <row r="29" spans="1:76" x14ac:dyDescent="0.2">
      <c r="A29" s="17"/>
      <c r="B29" s="17"/>
      <c r="C29" s="17"/>
      <c r="D29" s="17"/>
      <c r="E29" s="17"/>
      <c r="F29" s="17"/>
      <c r="G29" s="17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</row>
    <row r="30" spans="1:76" x14ac:dyDescent="0.2">
      <c r="A30" s="17"/>
      <c r="B30" s="29"/>
      <c r="C30" s="29"/>
      <c r="D30" s="29"/>
      <c r="E30" s="29"/>
      <c r="F30" s="29"/>
      <c r="G30" s="29"/>
      <c r="H30" s="21"/>
      <c r="I30" s="22"/>
      <c r="J30" s="22"/>
      <c r="K30" s="22"/>
      <c r="L30" s="22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6"/>
      <c r="BH30" s="26"/>
      <c r="BI30" s="26"/>
      <c r="BJ30" s="26"/>
      <c r="BK30" s="26"/>
      <c r="BL30" s="26"/>
      <c r="BM30" s="26"/>
      <c r="BN30" s="26"/>
    </row>
    <row r="31" spans="1:76" x14ac:dyDescent="0.2">
      <c r="A31" s="17"/>
      <c r="B31" s="17"/>
      <c r="C31" s="17"/>
      <c r="D31" s="17"/>
      <c r="E31" s="17"/>
      <c r="F31" s="17"/>
      <c r="G31" s="17"/>
      <c r="H31" s="21"/>
      <c r="I31" s="21"/>
      <c r="J31" s="28"/>
      <c r="K31" s="28"/>
      <c r="L31" s="28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L31" s="26"/>
      <c r="BM31" s="26"/>
    </row>
    <row r="32" spans="1:76" x14ac:dyDescent="0.2">
      <c r="A32" s="17"/>
      <c r="B32" s="17"/>
      <c r="C32" s="17"/>
      <c r="D32" s="17"/>
      <c r="E32" s="17"/>
      <c r="F32" s="17"/>
      <c r="G32" s="17"/>
      <c r="H32" s="21"/>
      <c r="I32" s="21"/>
      <c r="J32" s="28"/>
      <c r="K32" s="28"/>
      <c r="L32" s="28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</row>
    <row r="33" spans="1:65" x14ac:dyDescent="0.2">
      <c r="A33" s="17"/>
      <c r="B33" s="17"/>
      <c r="C33" s="17"/>
      <c r="D33" s="17"/>
      <c r="E33" s="17"/>
      <c r="F33" s="17"/>
      <c r="G33" s="17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6"/>
      <c r="BH33" s="26"/>
      <c r="BI33" s="26"/>
      <c r="BJ33" s="26"/>
      <c r="BK33" s="26"/>
      <c r="BL33" s="26"/>
      <c r="BM33" s="26"/>
    </row>
    <row r="34" spans="1:65" x14ac:dyDescent="0.2">
      <c r="A34" s="17"/>
      <c r="B34" s="17"/>
      <c r="C34" s="17"/>
      <c r="D34" s="17"/>
      <c r="E34" s="17"/>
      <c r="F34" s="17"/>
      <c r="G34" s="17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I34" s="26"/>
      <c r="BL34" s="26"/>
      <c r="BM34" s="26"/>
    </row>
    <row r="35" spans="1:65" x14ac:dyDescent="0.2">
      <c r="A35" s="17"/>
      <c r="B35" s="17"/>
      <c r="C35" s="17"/>
      <c r="D35" s="17"/>
      <c r="E35" s="17"/>
      <c r="F35" s="17"/>
      <c r="G35" s="17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L35" s="26"/>
      <c r="BM35" s="26"/>
    </row>
    <row r="36" spans="1:65" x14ac:dyDescent="0.2">
      <c r="A36" s="17"/>
      <c r="B36" s="17"/>
      <c r="C36" s="17"/>
      <c r="D36" s="17"/>
      <c r="E36" s="17"/>
      <c r="F36" s="17"/>
      <c r="G36" s="17"/>
      <c r="H36" s="21"/>
      <c r="I36" s="21"/>
      <c r="J36" s="28"/>
      <c r="K36" s="28"/>
      <c r="L36" s="28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6"/>
      <c r="BL36" s="26"/>
      <c r="BM36" s="26"/>
    </row>
    <row r="37" spans="1:65" x14ac:dyDescent="0.2">
      <c r="A37" s="17"/>
      <c r="B37" s="17"/>
      <c r="C37" s="17"/>
      <c r="D37" s="17"/>
      <c r="E37" s="17"/>
      <c r="F37" s="17"/>
      <c r="G37" s="17"/>
      <c r="H37" s="21"/>
      <c r="I37" s="21"/>
      <c r="J37" s="28"/>
      <c r="K37" s="28"/>
      <c r="L37" s="28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56bfaf0c, 612a0198</dc:creator>
  <cp:lastModifiedBy>56bfaf0c, 612a0198</cp:lastModifiedBy>
  <dcterms:created xsi:type="dcterms:W3CDTF">2026-03-18T23:18:02Z</dcterms:created>
  <dcterms:modified xsi:type="dcterms:W3CDTF">2026-03-18T23:19:39Z</dcterms:modified>
</cp:coreProperties>
</file>